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00000000000000000\analisis de datos\Excel\"/>
    </mc:Choice>
  </mc:AlternateContent>
  <xr:revisionPtr revIDLastSave="0" documentId="13_ncr:1_{0DCFAA89-9AF0-41F6-8481-3FD8BCA3E566}" xr6:coauthVersionLast="47" xr6:coauthVersionMax="47" xr10:uidLastSave="{00000000-0000-0000-0000-000000000000}"/>
  <bookViews>
    <workbookView xWindow="-108" yWindow="-108" windowWidth="23256" windowHeight="12456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0" l="1" a="1"/>
  <c r="R3" i="10"/>
  <c r="R4" i="10" a="1"/>
  <c r="R4" i="10" s="1"/>
  <c r="R5" i="10" a="1"/>
  <c r="R5" i="10" s="1"/>
  <c r="R6" i="10" a="1"/>
  <c r="R6" i="10"/>
  <c r="R7" i="10" a="1"/>
  <c r="R7" i="10"/>
  <c r="R8" i="10" a="1"/>
  <c r="R8" i="10" s="1"/>
  <c r="R9" i="10" a="1"/>
  <c r="R9" i="10" s="1"/>
  <c r="R10" i="10" a="1"/>
  <c r="R10" i="10"/>
  <c r="R11" i="10" a="1"/>
  <c r="R11" i="10"/>
  <c r="R12" i="10" a="1"/>
  <c r="R12" i="10" s="1"/>
  <c r="R13" i="10" a="1"/>
  <c r="R13" i="10" s="1"/>
  <c r="R14" i="10" a="1"/>
  <c r="R14" i="10"/>
  <c r="R15" i="10" a="1"/>
  <c r="R15" i="10"/>
  <c r="R16" i="10" a="1"/>
  <c r="R16" i="10" s="1"/>
  <c r="R17" i="10" a="1"/>
  <c r="R17" i="10" s="1"/>
  <c r="R18" i="10" a="1"/>
  <c r="R18" i="10"/>
  <c r="R19" i="10" a="1"/>
  <c r="R19" i="10"/>
  <c r="R20" i="10" a="1"/>
  <c r="R20" i="10" s="1"/>
  <c r="R21" i="10" a="1"/>
  <c r="R21" i="10" s="1"/>
  <c r="R2" i="10" a="1"/>
  <c r="R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K2" i="10" a="1"/>
  <c r="K2" i="10" s="1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7" i="10"/>
  <c r="L6" i="10"/>
  <c r="L5" i="10"/>
  <c r="L4" i="10"/>
  <c r="L3" i="10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P10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<sst xmlns="http://schemas.openxmlformats.org/spreadsheetml/2006/main" count="395" uniqueCount="144">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</sst>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O1" sqref="O1:O1048576"/>
    </sheetView>
  </sheetViews>
  <sheetFormatPr baseColWidth="10" defaultColWidth="9.09765625" defaultRowHeight="14.4"/>
  <cols>
    <col min="1" max="1" width="5.09765625" style="1" customWidth="1"/>
    <col min="2" max="2" width="22.69921875" style="1" bestFit="1" customWidth="1"/>
    <col min="3" max="3" width="18.19921875" style="1" bestFit="1" customWidth="1"/>
    <col min="4" max="4" width="12.19921875" style="1" customWidth="1"/>
    <col min="5" max="5" width="11.59765625" style="1" customWidth="1"/>
    <col min="6" max="6" width="10.59765625" style="1" hidden="1" customWidth="1"/>
    <col min="7" max="7" width="9.09765625" style="1" hidden="1" customWidth="1"/>
    <col min="8" max="9" width="11.09765625" style="1" hidden="1" customWidth="1"/>
    <col min="10" max="10" width="17.19921875" style="1" hidden="1" customWidth="1"/>
    <col min="11" max="11" width="14.19921875" style="1" hidden="1" customWidth="1"/>
    <col min="12" max="12" width="14.3984375" style="1" customWidth="1"/>
    <col min="13" max="13" width="15.59765625" style="1" customWidth="1"/>
    <col min="14" max="14" width="10.3984375" style="1" hidden="1" customWidth="1"/>
    <col min="15" max="15" width="24.3984375" style="1" hidden="1" customWidth="1"/>
    <col min="16" max="17" width="12.796875" style="1" customWidth="1"/>
    <col min="18" max="18" width="14.09765625" style="1" bestFit="1" customWidth="1"/>
    <col min="19" max="16384" width="9.09765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>AND(L10,M10)</f>
        <v>1</v>
      </c>
      <c r="Q10" s="32"/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baseColWidth="10" defaultColWidth="9.09765625" defaultRowHeight="14.4"/>
  <cols>
    <col min="1" max="1" width="5.09765625" style="1" customWidth="1"/>
    <col min="2" max="2" width="22.69921875" style="1" bestFit="1" customWidth="1"/>
    <col min="3" max="3" width="10.3984375" style="1" customWidth="1"/>
    <col min="4" max="4" width="12.19921875" style="1" customWidth="1"/>
    <col min="5" max="5" width="11.59765625" style="1" customWidth="1"/>
    <col min="6" max="6" width="10.59765625" style="1" hidden="1" customWidth="1"/>
    <col min="7" max="7" width="9.09765625" style="1" hidden="1" customWidth="1"/>
    <col min="8" max="9" width="11.09765625" style="1" hidden="1" customWidth="1"/>
    <col min="10" max="10" width="17.19921875" style="1" hidden="1" customWidth="1"/>
    <col min="11" max="11" width="14.19921875" style="1" hidden="1" customWidth="1"/>
    <col min="12" max="12" width="10.19921875" style="1" hidden="1" customWidth="1"/>
    <col min="13" max="13" width="9.09765625" style="1" hidden="1" customWidth="1"/>
    <col min="14" max="14" width="10.3984375" style="1" hidden="1" customWidth="1"/>
    <col min="15" max="15" width="14.09765625" style="1" hidden="1" customWidth="1"/>
    <col min="16" max="16" width="9.69921875" style="1" hidden="1" customWidth="1"/>
    <col min="17" max="17" width="9.69921875" style="1" customWidth="1"/>
    <col min="18" max="18" width="9.09765625" style="1"/>
    <col min="19" max="19" width="14.09765625" style="1" bestFit="1" customWidth="1"/>
    <col min="20" max="16384" width="9.09765625" style="1"/>
  </cols>
  <sheetData>
    <row r="1" spans="2:17" ht="1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>
      <c r="B14" s="17" t="s">
        <v>25</v>
      </c>
    </row>
    <row r="15" spans="2:17">
      <c r="B15" s="13" t="s">
        <v>22</v>
      </c>
      <c r="C15" s="14">
        <v>5</v>
      </c>
    </row>
    <row r="16" spans="2:17" ht="1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workbookViewId="0">
      <selection activeCell="S17" sqref="S17"/>
    </sheetView>
  </sheetViews>
  <sheetFormatPr baseColWidth="10" defaultColWidth="8.8984375" defaultRowHeight="13.8"/>
  <cols>
    <col min="1" max="1" width="16.8984375" bestFit="1" customWidth="1"/>
    <col min="2" max="2" width="19.09765625" hidden="1" customWidth="1"/>
    <col min="3" max="3" width="21.8984375" hidden="1" customWidth="1"/>
    <col min="4" max="4" width="11.09765625" hidden="1" customWidth="1"/>
    <col min="5" max="5" width="38.09765625" hidden="1" customWidth="1"/>
    <col min="6" max="6" width="14.59765625" hidden="1" customWidth="1"/>
    <col min="7" max="7" width="18.59765625" hidden="1" customWidth="1"/>
    <col min="8" max="8" width="13.8984375" bestFit="1" customWidth="1"/>
    <col min="9" max="9" width="19" hidden="1" customWidth="1"/>
    <col min="10" max="10" width="68.09765625" hidden="1" customWidth="1"/>
    <col min="11" max="11" width="11" bestFit="1" customWidth="1"/>
    <col min="12" max="12" width="14.19921875" bestFit="1" customWidth="1"/>
    <col min="13" max="13" width="11.296875" hidden="1" customWidth="1"/>
    <col min="14" max="14" width="6.59765625" hidden="1" customWidth="1"/>
    <col min="15" max="15" width="25.59765625" hidden="1" customWidth="1"/>
    <col min="16" max="16" width="25.59765625" customWidth="1"/>
    <col min="17" max="17" width="5.69921875" hidden="1" customWidth="1"/>
    <col min="18" max="18" width="10" bestFit="1" customWidth="1"/>
  </cols>
  <sheetData>
    <row r="1" spans="1:18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e" cm="1">
        <f t="array" ref="K2">OR(A2=K$1,A2=K=L$1)</f>
        <v>#NAME?</v>
      </c>
      <c r="L2" t="str">
        <f>IF($A2=L$1,"Role Desired","Not Desired")</f>
        <v>Not Desired</v>
      </c>
      <c r="M2" t="str">
        <f>IF($A2=K$1,"Role Desired",IF($A2=L$1,"Role Desired","Not Desired"))</f>
        <v>Not Desired</v>
      </c>
      <c r="O2" t="b">
        <f>OR(A2=K$1,A2=K$1)</f>
        <v>0</v>
      </c>
      <c r="P2" t="b">
        <f>OR(A2=K$1,A2=L$1)</f>
        <v>0</v>
      </c>
      <c r="R2" t="str" cm="1">
        <f t="array" ref="R2">_xlfn.IFS($H2="","NO DATA",$H2&gt;85000,"Salary&gt;85000",H2&lt;=85000,"Salary Low")</f>
        <v>Salary&gt;85000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 t="shared" ref="K3:K21" si="0">IF(A3=K$1,"Role Desired","Not Desired")</f>
        <v>Role Desired</v>
      </c>
      <c r="L3" t="str">
        <f t="shared" ref="L3:L21" si="1">IF($A3=L$1,"Role Desired","Not Desired")</f>
        <v>Not Desired</v>
      </c>
      <c r="M3" t="str">
        <f t="shared" ref="M3:M21" si="2">IF($A3=K$1,"Role Desired",IF($A3=L$1,"Role Desired","Not Desired"))</f>
        <v>Role Desired</v>
      </c>
      <c r="O3" t="b">
        <f t="shared" ref="O3:P21" si="3">OR(A3=K$1,A3=K$1)</f>
        <v>1</v>
      </c>
      <c r="P3" t="b">
        <f t="shared" ref="P3:P21" si="4">OR(A3=K$1,A3=L$1)</f>
        <v>1</v>
      </c>
      <c r="R3" t="str" cm="1">
        <f t="array" ref="R3">_xlfn.IFS($H3="","NO DATA",$H3&gt;85000,"Salary&gt;85000",H3&lt;=85000,"Salary Low")</f>
        <v>Salary Low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O4" t="b">
        <f t="shared" si="3"/>
        <v>1</v>
      </c>
      <c r="P4" t="b">
        <f t="shared" si="4"/>
        <v>1</v>
      </c>
      <c r="R4" t="str" cm="1">
        <f t="array" ref="R4">_xlfn.IFS($H4="","NO DATA",$H4&gt;85000,"Salary&gt;85000",H4&lt;=85000,"Salary Low")</f>
        <v>NO DATA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O5" t="b">
        <f t="shared" si="3"/>
        <v>0</v>
      </c>
      <c r="P5" t="b">
        <f t="shared" si="4"/>
        <v>0</v>
      </c>
      <c r="R5" t="str" cm="1">
        <f t="array" ref="R5">_xlfn.IFS($H5="","NO DATA",$H5&gt;85000,"Salary&gt;85000",H5&lt;=85000,"Salary Low")</f>
        <v>NO DATA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O6" t="b">
        <f t="shared" si="3"/>
        <v>0</v>
      </c>
      <c r="P6" t="b">
        <f t="shared" si="4"/>
        <v>0</v>
      </c>
      <c r="R6" t="str" cm="1">
        <f t="array" ref="R6">_xlfn.IFS($H6="","NO DATA",$H6&gt;85000,"Salary&gt;85000",H6&lt;=85000,"Salary Low")</f>
        <v>NO DATA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O7" t="b">
        <f t="shared" si="3"/>
        <v>0</v>
      </c>
      <c r="P7" t="b">
        <f t="shared" si="4"/>
        <v>0</v>
      </c>
      <c r="R7" t="str" cm="1">
        <f t="array" ref="R7">_xlfn.IFS($H7="","NO DATA",$H7&gt;85000,"Salary&gt;85000",H7&lt;=85000,"Salary Low")</f>
        <v>NO DATA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O8" t="b">
        <f t="shared" si="3"/>
        <v>1</v>
      </c>
      <c r="P8" t="b">
        <f t="shared" si="4"/>
        <v>1</v>
      </c>
      <c r="R8" t="str" cm="1">
        <f t="array" ref="R8">_xlfn.IFS($H8="","NO DATA",$H8&gt;85000,"Salary&gt;85000",H8&lt;=85000,"Salary Low")</f>
        <v>NO DATA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O9" t="b">
        <f t="shared" si="3"/>
        <v>1</v>
      </c>
      <c r="P9" t="b">
        <f t="shared" si="4"/>
        <v>1</v>
      </c>
      <c r="R9" t="str" cm="1">
        <f t="array" ref="R9">_xlfn.IFS($H9="","NO DATA",$H9&gt;85000,"Salary&gt;85000",H9&lt;=85000,"Salary Low")</f>
        <v>Salary&gt;85000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O10" t="b">
        <f t="shared" si="3"/>
        <v>1</v>
      </c>
      <c r="P10" t="b">
        <f t="shared" si="4"/>
        <v>1</v>
      </c>
      <c r="R10" t="str" cm="1">
        <f t="array" ref="R10">_xlfn.IFS($H10="","NO DATA",$H10&gt;85000,"Salary&gt;85000",H10&lt;=85000,"Salary Low")</f>
        <v>NO DATA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O11" t="b">
        <f t="shared" si="3"/>
        <v>1</v>
      </c>
      <c r="P11" t="b">
        <f t="shared" si="4"/>
        <v>1</v>
      </c>
      <c r="R11" t="str" cm="1">
        <f t="array" ref="R11">_xlfn.IFS($H11="","NO DATA",$H11&gt;85000,"Salary&gt;85000",H11&lt;=85000,"Salary Low")</f>
        <v>Salary&gt;85000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O12" t="b">
        <f t="shared" si="3"/>
        <v>0</v>
      </c>
      <c r="P12" t="b">
        <f t="shared" si="4"/>
        <v>0</v>
      </c>
      <c r="R12" t="str" cm="1">
        <f t="array" ref="R12">_xlfn.IFS($H12="","NO DATA",$H12&gt;85000,"Salary&gt;85000",H12&lt;=85000,"Salary Low")</f>
        <v>Salary&gt;85000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O13" t="b">
        <f t="shared" si="3"/>
        <v>0</v>
      </c>
      <c r="P13" t="b">
        <f t="shared" si="4"/>
        <v>0</v>
      </c>
      <c r="R13" t="str" cm="1">
        <f t="array" ref="R13">_xlfn.IFS($H13="","NO DATA",$H13&gt;85000,"Salary&gt;85000",H13&lt;=85000,"Salary Low")</f>
        <v>Salary&gt;85000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O14" t="b">
        <f t="shared" si="3"/>
        <v>0</v>
      </c>
      <c r="P14" t="b">
        <f t="shared" si="4"/>
        <v>0</v>
      </c>
      <c r="R14" t="str" cm="1">
        <f t="array" ref="R14">_xlfn.IFS($H14="","NO DATA",$H14&gt;85000,"Salary&gt;85000",H14&lt;=85000,"Salary Low")</f>
        <v>Salary&gt;85000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O15" t="b">
        <f t="shared" si="3"/>
        <v>0</v>
      </c>
      <c r="P15" t="b">
        <f t="shared" si="4"/>
        <v>0</v>
      </c>
      <c r="R15" t="str" cm="1">
        <f t="array" ref="R15">_xlfn.IFS($H15="","NO DATA",$H15&gt;85000,"Salary&gt;85000",H15&lt;=85000,"Salary Low")</f>
        <v>Salary Low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O16" t="b">
        <f t="shared" si="3"/>
        <v>0</v>
      </c>
      <c r="P16" t="b">
        <f t="shared" si="4"/>
        <v>0</v>
      </c>
      <c r="R16" t="str" cm="1">
        <f t="array" ref="R16">_xlfn.IFS($H16="","NO DATA",$H16&gt;85000,"Salary&gt;85000",H16&lt;=85000,"Salary Low")</f>
        <v>Salary&gt;85000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O17" t="b">
        <f t="shared" si="3"/>
        <v>0</v>
      </c>
      <c r="P17" t="b">
        <f t="shared" si="4"/>
        <v>0</v>
      </c>
      <c r="R17" t="str" cm="1">
        <f t="array" ref="R17">_xlfn.IFS($H17="","NO DATA",$H17&gt;85000,"Salary&gt;85000",H17&lt;=85000,"Salary Low")</f>
        <v>Salary&gt;85000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O18" t="b">
        <f t="shared" si="3"/>
        <v>0</v>
      </c>
      <c r="P18" t="b">
        <f t="shared" si="4"/>
        <v>1</v>
      </c>
      <c r="R18" t="str" cm="1">
        <f t="array" ref="R18">_xlfn.IFS($H18="","NO DATA",$H18&gt;85000,"Salary&gt;85000",H18&lt;=85000,"Salary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O19" t="b">
        <f t="shared" si="3"/>
        <v>0</v>
      </c>
      <c r="P19" t="b">
        <f t="shared" si="4"/>
        <v>0</v>
      </c>
      <c r="R19" t="str" cm="1">
        <f t="array" ref="R19">_xlfn.IFS($H19="","NO DATA",$H19&gt;85000,"Salary&gt;85000",H19&lt;=85000,"Salary Low")</f>
        <v>Salary&gt;85000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O20" t="b">
        <f t="shared" si="3"/>
        <v>0</v>
      </c>
      <c r="P20" t="b">
        <f t="shared" si="4"/>
        <v>0</v>
      </c>
      <c r="R20" t="str" cm="1">
        <f t="array" ref="R20">_xlfn.IFS($H20="","NO DATA",$H20&gt;85000,"Salary&gt;85000",H20&lt;=85000,"Salary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O21" t="b">
        <f t="shared" si="3"/>
        <v>0</v>
      </c>
      <c r="P21" t="b">
        <f t="shared" si="4"/>
        <v>1</v>
      </c>
      <c r="R21" t="str" cm="1">
        <f t="array" ref="R21">_xlfn.IFS($H21="","NO DATA",$H21&gt;85000,"Salary&gt;85000",H21&lt;=85000,"Salary Low")</f>
        <v>Salary&gt;85000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baseColWidth="10" defaultColWidth="8.8984375" defaultRowHeight="13.8"/>
  <cols>
    <col min="1" max="1" width="16.8984375" bestFit="1" customWidth="1"/>
    <col min="2" max="2" width="17.3984375" hidden="1" customWidth="1"/>
    <col min="3" max="3" width="21.8984375" hidden="1" customWidth="1"/>
    <col min="4" max="4" width="11.09765625" hidden="1" customWidth="1"/>
    <col min="5" max="5" width="38.09765625" hidden="1" customWidth="1"/>
    <col min="6" max="6" width="14.59765625" hidden="1" customWidth="1"/>
    <col min="7" max="7" width="18.59765625" hidden="1" customWidth="1"/>
    <col min="8" max="8" width="13.8984375" bestFit="1" customWidth="1"/>
    <col min="9" max="9" width="19" hidden="1" customWidth="1"/>
    <col min="10" max="10" width="68.09765625" hidden="1" customWidth="1"/>
    <col min="11" max="11" width="15.8984375" bestFit="1" customWidth="1"/>
    <col min="12" max="12" width="19.09765625" bestFit="1" customWidth="1"/>
    <col min="13" max="13" width="14.19921875" bestFit="1" customWidth="1"/>
    <col min="14" max="14" width="11.19921875" bestFit="1" customWidth="1"/>
    <col min="15" max="15" width="10.09765625" bestFit="1" customWidth="1"/>
    <col min="16" max="16" width="14.19921875" bestFit="1" customWidth="1"/>
    <col min="17" max="17" width="10.69921875" bestFit="1" customWidth="1"/>
    <col min="18" max="18" width="12.3984375" bestFit="1" customWidth="1"/>
  </cols>
  <sheetData>
    <row r="1" spans="1:18 16384:16384" ht="14.4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baseColWidth="10" defaultColWidth="8.8984375" defaultRowHeight="13.8"/>
  <cols>
    <col min="1" max="1" width="6.59765625" customWidth="1"/>
    <col min="2" max="2" width="13.3984375" customWidth="1"/>
    <col min="3" max="3" width="31.3984375" bestFit="1" customWidth="1"/>
    <col min="4" max="4" width="60.3984375" bestFit="1" customWidth="1"/>
    <col min="5" max="5" width="19.69921875" bestFit="1" customWidth="1"/>
    <col min="6" max="6" width="17.59765625" bestFit="1" customWidth="1"/>
  </cols>
  <sheetData>
    <row r="2" spans="2:6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baseColWidth="10" defaultColWidth="8.8984375" defaultRowHeight="13.8"/>
  <cols>
    <col min="2" max="2" width="9.8984375" bestFit="1" customWidth="1"/>
    <col min="3" max="3" width="10.59765625" customWidth="1"/>
  </cols>
  <sheetData>
    <row r="1" spans="2:5" ht="14.4" thickBot="1"/>
    <row r="2" spans="2: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4.4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José Luis Serrano Ricardo</cp:lastModifiedBy>
  <dcterms:created xsi:type="dcterms:W3CDTF">2024-07-16T20:11:02Z</dcterms:created>
  <dcterms:modified xsi:type="dcterms:W3CDTF">2025-12-05T04:48:59Z</dcterms:modified>
</cp:coreProperties>
</file>